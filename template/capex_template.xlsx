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xpol-my.sharepoint.com/personal/gglk_cloud_gislavedgummi_com/Documents/Accounts/1.Capex/2026/EECL/"/>
    </mc:Choice>
  </mc:AlternateContent>
  <xr:revisionPtr revIDLastSave="34" documentId="8_{2012E4CA-B250-445A-9BC4-87664DFECBA6}" xr6:coauthVersionLast="47" xr6:coauthVersionMax="47" xr10:uidLastSave="{7FF572BF-4B6F-46FA-A686-F5980C459BFD}"/>
  <bookViews>
    <workbookView xWindow="-28920" yWindow="-120" windowWidth="29040" windowHeight="15720" tabRatio="477" xr2:uid="{00000000-000D-0000-FFFF-FFFF00000000}"/>
  </bookViews>
  <sheets>
    <sheet name="Capex form" sheetId="4" r:id="rId1"/>
    <sheet name="Reason" sheetId="5" r:id="rId2"/>
  </sheets>
  <definedNames>
    <definedName name="_xlnm.Print_Area" localSheetId="0">'Capex form'!$B$3:$L$63</definedName>
    <definedName name="_xlnm.Print_Area" localSheetId="1">Reason!$B$4:$I$50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4" l="1"/>
  <c r="J40" i="4"/>
  <c r="E46" i="4"/>
  <c r="K34" i="4"/>
  <c r="B5" i="5"/>
  <c r="H14" i="4" l="1"/>
  <c r="J11" i="4"/>
  <c r="J14" i="4"/>
  <c r="J10" i="4"/>
  <c r="K36" i="4"/>
  <c r="E50" i="4"/>
</calcChain>
</file>

<file path=xl/sharedStrings.xml><?xml version="1.0" encoding="utf-8"?>
<sst xmlns="http://schemas.openxmlformats.org/spreadsheetml/2006/main" count="78" uniqueCount="72">
  <si>
    <t>USD</t>
  </si>
  <si>
    <t>Company:</t>
  </si>
  <si>
    <t>Date:</t>
  </si>
  <si>
    <t xml:space="preserve">Page 1 </t>
  </si>
  <si>
    <t>CAPITAL EXPENDITURE</t>
  </si>
  <si>
    <t>APPLICATION</t>
  </si>
  <si>
    <t>Object:</t>
  </si>
  <si>
    <t>Please find attached description of the proposal</t>
  </si>
  <si>
    <t>Reasons:</t>
  </si>
  <si>
    <t>Expansion</t>
  </si>
  <si>
    <t>Working environment</t>
  </si>
  <si>
    <t>Environment protection</t>
  </si>
  <si>
    <t>Rationalization</t>
  </si>
  <si>
    <t>Replacement</t>
  </si>
  <si>
    <t>Marketing/PR</t>
  </si>
  <si>
    <t>Timetable</t>
  </si>
  <si>
    <t>Year</t>
  </si>
  <si>
    <t>Month</t>
  </si>
  <si>
    <t>Life</t>
  </si>
  <si>
    <t xml:space="preserve"> </t>
  </si>
  <si>
    <t>Year(s)</t>
  </si>
  <si>
    <t>Request amount</t>
  </si>
  <si>
    <t>Rs.</t>
  </si>
  <si>
    <t>Total budget amount</t>
  </si>
  <si>
    <t>Start</t>
  </si>
  <si>
    <t>Actual object</t>
  </si>
  <si>
    <t>Whereof approved</t>
  </si>
  <si>
    <t>Completed</t>
  </si>
  <si>
    <t>Principal install.,</t>
  </si>
  <si>
    <t>etc (remaining)</t>
  </si>
  <si>
    <t>This request</t>
  </si>
  <si>
    <t>CAPITAL EXPENDITURES</t>
  </si>
  <si>
    <t>Amount</t>
  </si>
  <si>
    <t>CAPITAL REQUIREMENT</t>
  </si>
  <si>
    <t>Rs</t>
  </si>
  <si>
    <t>Land</t>
  </si>
  <si>
    <t xml:space="preserve">Appropriation </t>
  </si>
  <si>
    <t>Land improvement</t>
  </si>
  <si>
    <t>Disposal of existing asset</t>
  </si>
  <si>
    <t>Buildings</t>
  </si>
  <si>
    <t>Change  in operating capital</t>
  </si>
  <si>
    <t>Plant/Machinery</t>
  </si>
  <si>
    <t>TOTAL CAP. REQUIREMENT</t>
  </si>
  <si>
    <t>Operating expense (cost)</t>
  </si>
  <si>
    <t>PAY BACK PERIOD</t>
  </si>
  <si>
    <t>Year(s):</t>
  </si>
  <si>
    <t>APPROPRIATION AMOUNT</t>
  </si>
  <si>
    <t>Application Approved</t>
  </si>
  <si>
    <t>Appropriation Granted</t>
  </si>
  <si>
    <t>Managing Director</t>
  </si>
  <si>
    <t>Chairman of Board</t>
  </si>
  <si>
    <t xml:space="preserve">Invest.No.-       </t>
  </si>
  <si>
    <t>DESCRIPTION,</t>
  </si>
  <si>
    <t>REASON</t>
  </si>
  <si>
    <t>22 Aug. 97</t>
  </si>
  <si>
    <t>LKR</t>
  </si>
  <si>
    <t>X</t>
  </si>
  <si>
    <t xml:space="preserve">USD Rate </t>
  </si>
  <si>
    <t xml:space="preserve">Issued  by: </t>
  </si>
  <si>
    <t>Rukman Chaminda</t>
  </si>
  <si>
    <t>Balance Budget Amount</t>
  </si>
  <si>
    <t>Page 2 (2)</t>
  </si>
  <si>
    <t>Jun</t>
  </si>
  <si>
    <t>Cyclone sand blasting machine to Clean the Aluminium centers</t>
  </si>
  <si>
    <t>1200 x 1500 x 900 Working Chamber Shot Blasting Machine</t>
  </si>
  <si>
    <t xml:space="preserve">Clearing and Shipping </t>
  </si>
  <si>
    <t>Place and date: Bokundara  2026-06-11</t>
  </si>
  <si>
    <t>ELASTOMERIC ENGINEERING CO.LTD</t>
  </si>
  <si>
    <t>Total</t>
  </si>
  <si>
    <t>Ex.Rate @ 336.39</t>
  </si>
  <si>
    <t>June</t>
  </si>
  <si>
    <t>General Manager - F&amp;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</si>
</sst>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k_r_-;\-* #,##0.00\ _k_r_-;_-* &quot;-&quot;??\ _k_r_-;_-@_-"/>
    <numFmt numFmtId="165" formatCode="_(* #,##0_);_(* \(#,##0\);_(* &quot;-&quot;??_);_(@_)"/>
    <numFmt numFmtId="166" formatCode="_-* #,##0\ _k_r_-;\-* #,##0\ _k_r_-;_-* &quot;-&quot;??\ _k_r_-;_-@_-"/>
  </numFmts>
  <fonts count="7" x14ac:knownFonts="1"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b/>
      <i/>
      <sz val="10"/>
      <name val="Verdana"/>
      <family val="2"/>
    </font>
    <font>
      <b/>
      <sz val="14"/>
      <name val="Verdana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3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3" xfId="0" applyFont="1" applyBorder="1"/>
    <xf numFmtId="0" fontId="3" fillId="2" borderId="4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0" borderId="17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1" xfId="0" applyFont="1" applyBorder="1"/>
    <xf numFmtId="0" fontId="2" fillId="0" borderId="0" xfId="0" applyFont="1" applyBorder="1"/>
    <xf numFmtId="0" fontId="3" fillId="2" borderId="8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0" fontId="2" fillId="0" borderId="12" xfId="0" applyFont="1" applyBorder="1"/>
    <xf numFmtId="0" fontId="2" fillId="0" borderId="18" xfId="0" applyFont="1" applyBorder="1"/>
    <xf numFmtId="0" fontId="3" fillId="0" borderId="0" xfId="0" applyFont="1"/>
    <xf numFmtId="0" fontId="2" fillId="0" borderId="19" xfId="0" applyFont="1" applyBorder="1"/>
    <xf numFmtId="0" fontId="2" fillId="0" borderId="20" xfId="0" applyFont="1" applyBorder="1"/>
    <xf numFmtId="0" fontId="3" fillId="2" borderId="21" xfId="0" applyFont="1" applyFill="1" applyBorder="1"/>
    <xf numFmtId="0" fontId="2" fillId="2" borderId="22" xfId="0" applyFont="1" applyFill="1" applyBorder="1"/>
    <xf numFmtId="0" fontId="2" fillId="2" borderId="20" xfId="0" applyFont="1" applyFill="1" applyBorder="1"/>
    <xf numFmtId="0" fontId="3" fillId="0" borderId="20" xfId="0" applyFont="1" applyBorder="1"/>
    <xf numFmtId="0" fontId="2" fillId="0" borderId="20" xfId="0" applyFont="1" applyFill="1" applyBorder="1"/>
    <xf numFmtId="0" fontId="2" fillId="0" borderId="23" xfId="0" applyFont="1" applyBorder="1"/>
    <xf numFmtId="0" fontId="3" fillId="0" borderId="24" xfId="0" applyFont="1" applyBorder="1"/>
    <xf numFmtId="0" fontId="3" fillId="0" borderId="0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right"/>
    </xf>
    <xf numFmtId="165" fontId="3" fillId="0" borderId="0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0" fontId="2" fillId="0" borderId="1" xfId="0" applyFont="1" applyBorder="1"/>
    <xf numFmtId="0" fontId="2" fillId="0" borderId="0" xfId="0" applyFont="1" applyBorder="1" applyAlignment="1">
      <alignment horizontal="right"/>
    </xf>
    <xf numFmtId="165" fontId="2" fillId="0" borderId="0" xfId="1" applyNumberFormat="1" applyFont="1" applyBorder="1" applyAlignment="1">
      <alignment horizontal="right"/>
    </xf>
    <xf numFmtId="165" fontId="2" fillId="0" borderId="27" xfId="1" applyNumberFormat="1" applyFont="1" applyBorder="1" applyAlignment="1">
      <alignment horizontal="right"/>
    </xf>
    <xf numFmtId="166" fontId="3" fillId="0" borderId="0" xfId="2" applyNumberFormat="1" applyFont="1" applyBorder="1" applyAlignment="1">
      <alignment horizontal="right"/>
    </xf>
    <xf numFmtId="0" fontId="2" fillId="0" borderId="25" xfId="0" applyFont="1" applyBorder="1"/>
    <xf numFmtId="0" fontId="2" fillId="0" borderId="13" xfId="0" applyFont="1" applyBorder="1"/>
    <xf numFmtId="0" fontId="2" fillId="0" borderId="26" xfId="0" applyFont="1" applyBorder="1" applyAlignment="1">
      <alignment horizontal="center"/>
    </xf>
    <xf numFmtId="0" fontId="2" fillId="0" borderId="26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5" xfId="0" applyFont="1" applyBorder="1"/>
    <xf numFmtId="0" fontId="3" fillId="0" borderId="8" xfId="0" applyFont="1" applyBorder="1"/>
    <xf numFmtId="0" fontId="4" fillId="0" borderId="0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left"/>
    </xf>
    <xf numFmtId="165" fontId="2" fillId="0" borderId="0" xfId="1" quotePrefix="1" applyNumberFormat="1" applyFont="1" applyBorder="1" applyAlignment="1">
      <alignment horizontal="center"/>
    </xf>
    <xf numFmtId="0" fontId="2" fillId="0" borderId="14" xfId="0" applyFont="1" applyBorder="1"/>
    <xf numFmtId="165" fontId="2" fillId="0" borderId="13" xfId="0" applyNumberFormat="1" applyFont="1" applyBorder="1"/>
    <xf numFmtId="0" fontId="5" fillId="0" borderId="24" xfId="0" applyFont="1" applyBorder="1" applyAlignment="1">
      <alignment horizontal="left"/>
    </xf>
    <xf numFmtId="43" fontId="2" fillId="0" borderId="0" xfId="1" applyFont="1" applyBorder="1"/>
    <xf numFmtId="165" fontId="2" fillId="0" borderId="0" xfId="1" applyNumberFormat="1" applyFont="1" applyBorder="1" applyAlignment="1"/>
    <xf numFmtId="165" fontId="2" fillId="0" borderId="27" xfId="1" applyNumberFormat="1" applyFont="1" applyBorder="1" applyAlignment="1"/>
    <xf numFmtId="166" fontId="2" fillId="0" borderId="0" xfId="2" applyNumberFormat="1" applyFont="1" applyBorder="1" applyAlignment="1"/>
    <xf numFmtId="0" fontId="2" fillId="0" borderId="28" xfId="0" applyFont="1" applyBorder="1"/>
    <xf numFmtId="43" fontId="2" fillId="0" borderId="29" xfId="0" applyNumberFormat="1" applyFont="1" applyBorder="1"/>
    <xf numFmtId="0" fontId="3" fillId="0" borderId="9" xfId="0" applyFont="1" applyBorder="1"/>
    <xf numFmtId="0" fontId="3" fillId="0" borderId="13" xfId="0" applyFont="1" applyBorder="1"/>
    <xf numFmtId="0" fontId="4" fillId="0" borderId="0" xfId="0" applyFont="1" applyAlignment="1">
      <alignment horizontal="center"/>
    </xf>
    <xf numFmtId="0" fontId="2" fillId="0" borderId="2" xfId="0" applyFont="1" applyBorder="1"/>
    <xf numFmtId="0" fontId="2" fillId="2" borderId="4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1" xfId="0" applyFont="1" applyBorder="1"/>
    <xf numFmtId="0" fontId="6" fillId="2" borderId="8" xfId="0" applyFont="1" applyFill="1" applyBorder="1"/>
    <xf numFmtId="0" fontId="2" fillId="2" borderId="0" xfId="0" applyFont="1" applyFill="1" applyBorder="1"/>
    <xf numFmtId="0" fontId="2" fillId="2" borderId="9" xfId="0" applyFont="1" applyFill="1" applyBorder="1"/>
    <xf numFmtId="0" fontId="2" fillId="0" borderId="0" xfId="0" applyFont="1" applyAlignment="1">
      <alignment horizontal="right"/>
    </xf>
  </cellXfs>
  <cellStyles count="3">
    <cellStyle name="Comma" xfId="1" builtinId="3"/>
    <cellStyle name="Comma_Sheet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0</xdr:rowOff>
    </xdr:from>
    <xdr:to>
      <xdr:col>9</xdr:col>
      <xdr:colOff>0</xdr:colOff>
      <xdr:row>49</xdr:row>
      <xdr:rowOff>180975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 txBox="1">
          <a:spLocks noChangeArrowheads="1"/>
        </xdr:cNvSpPr>
      </xdr:nvSpPr>
      <xdr:spPr bwMode="auto">
        <a:xfrm>
          <a:off x="257175" y="1695450"/>
          <a:ext cx="6391275" cy="818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Arial"/>
            </a:rPr>
            <a:t>Soft Steel blasting unit for blast the Aluminium centers and existing sand blaster unit is unable to use due to damage of</a:t>
          </a:r>
          <a:r>
            <a:rPr lang="en-US" sz="1000" b="0" i="0" strike="noStrike" baseline="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Arial"/>
            </a:rPr>
            <a:t> the Aluminium centers.</a:t>
          </a:r>
          <a:endParaRPr lang="en-US" sz="1000" b="0" i="0" strike="noStrike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7"/>
  <sheetViews>
    <sheetView tabSelected="1" workbookViewId="0">
      <selection activeCell="O16" sqref="O16"/>
    </sheetView>
  </sheetViews>
  <sheetFormatPr defaultColWidth="9.109375" defaultRowHeight="12.6" x14ac:dyDescent="0.2"/>
  <cols>
    <col min="1" max="1" width="5.109375" style="1" customWidth="1"/>
    <col min="2" max="2" width="7.88671875" style="1" customWidth="1"/>
    <col min="3" max="3" width="9.21875" style="1" bestFit="1" customWidth="1"/>
    <col min="4" max="4" width="10.6640625" style="1" customWidth="1"/>
    <col min="5" max="5" width="12.77734375" style="1" customWidth="1"/>
    <col min="6" max="6" width="14" style="1" customWidth="1"/>
    <col min="7" max="7" width="12.88671875" style="1" customWidth="1"/>
    <col min="8" max="8" width="14" style="1" customWidth="1"/>
    <col min="9" max="9" width="9.109375" style="1"/>
    <col min="10" max="10" width="14.44140625" style="1" bestFit="1" customWidth="1"/>
    <col min="11" max="11" width="12.88671875" style="1" customWidth="1"/>
    <col min="12" max="12" width="5.44140625" style="1" customWidth="1"/>
    <col min="13" max="13" width="9.109375" style="1"/>
    <col min="14" max="14" width="11" style="1" bestFit="1" customWidth="1"/>
    <col min="15" max="16384" width="9.109375" style="1"/>
  </cols>
  <sheetData>
    <row r="1" spans="1:14" x14ac:dyDescent="0.2">
      <c r="B1" s="1" t="s">
        <v>57</v>
      </c>
      <c r="C1" s="1">
        <v>336.39</v>
      </c>
    </row>
    <row r="2" spans="1:14" ht="13.2" thickBot="1" x14ac:dyDescent="0.25"/>
    <row r="3" spans="1:14" ht="13.2" thickTop="1" x14ac:dyDescent="0.2">
      <c r="B3" s="2" t="s">
        <v>1</v>
      </c>
      <c r="C3" s="3"/>
      <c r="D3" s="3"/>
      <c r="E3" s="3"/>
      <c r="F3" s="4"/>
      <c r="G3" s="5"/>
      <c r="H3" s="5"/>
      <c r="I3" s="6"/>
      <c r="J3" s="7" t="s">
        <v>2</v>
      </c>
      <c r="K3" s="8" t="s">
        <v>3</v>
      </c>
      <c r="L3" s="9"/>
    </row>
    <row r="4" spans="1:14" x14ac:dyDescent="0.2">
      <c r="A4" s="10"/>
      <c r="B4" s="11" t="s">
        <v>67</v>
      </c>
      <c r="C4" s="12"/>
      <c r="D4" s="12"/>
      <c r="E4" s="12"/>
      <c r="F4" s="13" t="s">
        <v>4</v>
      </c>
      <c r="G4" s="14"/>
      <c r="H4" s="14"/>
      <c r="I4" s="15"/>
      <c r="J4" s="16">
        <v>46184</v>
      </c>
      <c r="K4" s="17"/>
      <c r="L4" s="18"/>
    </row>
    <row r="5" spans="1:14" x14ac:dyDescent="0.2">
      <c r="B5" s="11"/>
      <c r="C5" s="12"/>
      <c r="D5" s="12"/>
      <c r="E5" s="12"/>
      <c r="F5" s="13" t="s">
        <v>5</v>
      </c>
      <c r="G5" s="14"/>
      <c r="H5" s="14"/>
      <c r="I5" s="15"/>
      <c r="J5" s="12" t="s">
        <v>58</v>
      </c>
      <c r="K5" s="12" t="s">
        <v>59</v>
      </c>
      <c r="L5" s="10"/>
      <c r="N5" s="19"/>
    </row>
    <row r="6" spans="1:14" ht="13.2" thickBot="1" x14ac:dyDescent="0.25">
      <c r="B6" s="20"/>
      <c r="C6" s="21"/>
      <c r="D6" s="21"/>
      <c r="E6" s="21"/>
      <c r="F6" s="22"/>
      <c r="G6" s="23"/>
      <c r="H6" s="24"/>
      <c r="I6" s="23"/>
      <c r="J6" s="25" t="s">
        <v>51</v>
      </c>
      <c r="K6" s="26"/>
      <c r="L6" s="27"/>
    </row>
    <row r="7" spans="1:14" ht="13.2" thickTop="1" x14ac:dyDescent="0.2">
      <c r="B7" s="28"/>
      <c r="C7" s="29"/>
      <c r="D7" s="30"/>
      <c r="E7" s="30"/>
      <c r="F7" s="30"/>
      <c r="G7" s="31"/>
      <c r="H7" s="32"/>
      <c r="I7" s="30"/>
      <c r="J7" s="33"/>
      <c r="K7" s="29"/>
      <c r="L7" s="34"/>
    </row>
    <row r="8" spans="1:14" x14ac:dyDescent="0.2">
      <c r="B8" s="35"/>
      <c r="C8" s="12"/>
      <c r="D8" s="12"/>
      <c r="E8" s="12"/>
      <c r="F8" s="29"/>
      <c r="G8" s="36"/>
      <c r="H8" s="32" t="s">
        <v>0</v>
      </c>
      <c r="I8" s="31"/>
      <c r="J8" s="32" t="s">
        <v>55</v>
      </c>
      <c r="K8" s="29"/>
      <c r="L8" s="34"/>
    </row>
    <row r="9" spans="1:14" x14ac:dyDescent="0.2">
      <c r="B9" s="11" t="s">
        <v>6</v>
      </c>
      <c r="C9" s="29" t="s">
        <v>63</v>
      </c>
      <c r="D9" s="29"/>
      <c r="E9" s="29"/>
      <c r="F9" s="29"/>
      <c r="G9" s="31"/>
      <c r="H9" s="12"/>
      <c r="I9" s="12"/>
      <c r="J9" s="12"/>
      <c r="K9" s="29"/>
      <c r="L9" s="34"/>
    </row>
    <row r="10" spans="1:14" x14ac:dyDescent="0.2">
      <c r="B10" s="35"/>
      <c r="C10" s="12" t="s">
        <v>64</v>
      </c>
      <c r="D10" s="12"/>
      <c r="E10" s="12"/>
      <c r="F10" s="29"/>
      <c r="G10" s="36"/>
      <c r="H10" s="37">
        <v>8686</v>
      </c>
      <c r="I10" s="36"/>
      <c r="J10" s="37">
        <f>C1*H10</f>
        <v>2921883.54</v>
      </c>
      <c r="K10" s="29"/>
      <c r="L10" s="34"/>
    </row>
    <row r="11" spans="1:14" x14ac:dyDescent="0.2">
      <c r="B11" s="35"/>
      <c r="C11" s="12" t="s">
        <v>65</v>
      </c>
      <c r="D11" s="12"/>
      <c r="E11" s="12"/>
      <c r="F11" s="29"/>
      <c r="G11" s="36"/>
      <c r="H11" s="37">
        <v>434</v>
      </c>
      <c r="I11" s="36"/>
      <c r="J11" s="37">
        <f>H11*C1</f>
        <v>145993.25999999998</v>
      </c>
      <c r="K11" s="29"/>
      <c r="L11" s="34"/>
    </row>
    <row r="12" spans="1:14" x14ac:dyDescent="0.2">
      <c r="B12" s="35"/>
      <c r="C12" s="12"/>
      <c r="D12" s="12"/>
      <c r="E12" s="12"/>
      <c r="F12" s="29"/>
      <c r="G12" s="36"/>
      <c r="H12" s="37"/>
      <c r="I12" s="36"/>
      <c r="J12" s="37"/>
      <c r="K12" s="29"/>
      <c r="L12" s="34"/>
    </row>
    <row r="13" spans="1:14" x14ac:dyDescent="0.2">
      <c r="B13" s="35"/>
      <c r="C13" s="12"/>
      <c r="D13" s="12"/>
      <c r="E13" s="12"/>
      <c r="F13" s="29"/>
      <c r="G13" s="36"/>
      <c r="H13" s="37"/>
      <c r="I13" s="36"/>
      <c r="J13" s="37"/>
      <c r="K13" s="29"/>
      <c r="L13" s="34"/>
    </row>
    <row r="14" spans="1:14" ht="13.2" thickBot="1" x14ac:dyDescent="0.25">
      <c r="B14" s="11"/>
      <c r="C14" s="29" t="s">
        <v>68</v>
      </c>
      <c r="D14" s="29"/>
      <c r="E14" s="29"/>
      <c r="F14" s="29"/>
      <c r="G14" s="36"/>
      <c r="H14" s="38">
        <f>SUM(H8:H13)</f>
        <v>9120</v>
      </c>
      <c r="I14" s="36"/>
      <c r="J14" s="38">
        <f>SUM(J8:J13)</f>
        <v>3067876.8</v>
      </c>
      <c r="K14" s="29"/>
      <c r="L14" s="34"/>
    </row>
    <row r="15" spans="1:14" ht="13.2" thickTop="1" x14ac:dyDescent="0.2">
      <c r="B15" s="11"/>
      <c r="C15" s="29"/>
      <c r="D15" s="29"/>
      <c r="E15" s="29"/>
      <c r="F15" s="29"/>
      <c r="G15" s="36"/>
      <c r="H15" s="37"/>
      <c r="I15" s="36"/>
      <c r="J15" s="37"/>
      <c r="K15" s="29"/>
      <c r="L15" s="34"/>
    </row>
    <row r="16" spans="1:14" x14ac:dyDescent="0.2">
      <c r="B16" s="11"/>
      <c r="C16" s="29" t="s">
        <v>69</v>
      </c>
      <c r="D16" s="29"/>
      <c r="E16" s="29"/>
      <c r="F16" s="29"/>
      <c r="G16" s="36"/>
      <c r="H16" s="37"/>
      <c r="I16" s="36"/>
      <c r="J16" s="37"/>
      <c r="K16" s="29"/>
      <c r="L16" s="34"/>
    </row>
    <row r="17" spans="2:12" x14ac:dyDescent="0.2">
      <c r="B17" s="35"/>
      <c r="C17" s="29"/>
      <c r="D17" s="29"/>
      <c r="E17" s="29"/>
      <c r="F17" s="29"/>
      <c r="G17" s="29"/>
      <c r="H17" s="39"/>
      <c r="I17" s="29"/>
      <c r="J17" s="29"/>
      <c r="K17" s="29"/>
      <c r="L17" s="34"/>
    </row>
    <row r="18" spans="2:12" x14ac:dyDescent="0.2">
      <c r="B18" s="35"/>
      <c r="C18" s="29"/>
      <c r="D18" s="12"/>
      <c r="E18" s="12"/>
      <c r="F18" s="12"/>
      <c r="G18" s="12"/>
      <c r="H18" s="12"/>
      <c r="I18" s="12"/>
      <c r="J18" s="12"/>
      <c r="K18" s="12"/>
      <c r="L18" s="10"/>
    </row>
    <row r="19" spans="2:12" x14ac:dyDescent="0.2">
      <c r="B19" s="40" t="s">
        <v>7</v>
      </c>
      <c r="C19" s="41"/>
      <c r="D19" s="41"/>
      <c r="E19" s="41"/>
      <c r="F19" s="41"/>
      <c r="G19" s="41"/>
      <c r="H19" s="41"/>
      <c r="I19" s="41"/>
      <c r="J19" s="41"/>
      <c r="K19" s="41"/>
      <c r="L19" s="18"/>
    </row>
    <row r="20" spans="2:12" x14ac:dyDescent="0.2"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12"/>
      <c r="L20" s="10"/>
    </row>
    <row r="21" spans="2:12" ht="13.2" thickBot="1" x14ac:dyDescent="0.25">
      <c r="B21" s="35"/>
      <c r="C21" s="12"/>
      <c r="D21" s="12"/>
      <c r="E21" s="12"/>
      <c r="F21" s="12"/>
      <c r="G21" s="12"/>
      <c r="H21" s="12"/>
      <c r="I21" s="12"/>
      <c r="J21" s="12"/>
      <c r="K21" s="12"/>
      <c r="L21" s="10"/>
    </row>
    <row r="22" spans="2:12" ht="13.2" thickBot="1" x14ac:dyDescent="0.25">
      <c r="B22" s="35"/>
      <c r="C22" s="12"/>
      <c r="D22" s="42"/>
      <c r="E22" s="12" t="s">
        <v>9</v>
      </c>
      <c r="F22" s="12"/>
      <c r="G22" s="12"/>
      <c r="H22" s="12"/>
      <c r="I22" s="42"/>
      <c r="J22" s="12" t="s">
        <v>10</v>
      </c>
      <c r="K22" s="12"/>
      <c r="L22" s="10"/>
    </row>
    <row r="23" spans="2:12" ht="13.2" thickBot="1" x14ac:dyDescent="0.25">
      <c r="B23" s="35"/>
      <c r="C23" s="12"/>
      <c r="D23" s="12"/>
      <c r="E23" s="12"/>
      <c r="F23" s="12"/>
      <c r="G23" s="12"/>
      <c r="H23" s="12"/>
      <c r="I23" s="12"/>
      <c r="J23" s="12"/>
      <c r="K23" s="12"/>
      <c r="L23" s="10"/>
    </row>
    <row r="24" spans="2:12" ht="13.2" thickBot="1" x14ac:dyDescent="0.25">
      <c r="B24" s="35"/>
      <c r="C24" s="12"/>
      <c r="D24" s="42"/>
      <c r="E24" s="12" t="s">
        <v>11</v>
      </c>
      <c r="F24" s="12"/>
      <c r="G24" s="12"/>
      <c r="H24" s="12"/>
      <c r="I24" s="42"/>
      <c r="J24" s="12" t="s">
        <v>12</v>
      </c>
      <c r="K24" s="12"/>
      <c r="L24" s="10"/>
    </row>
    <row r="25" spans="2:12" ht="13.2" thickBot="1" x14ac:dyDescent="0.25">
      <c r="B25" s="35"/>
      <c r="C25" s="12"/>
      <c r="D25" s="12"/>
      <c r="E25" s="12"/>
      <c r="F25" s="12"/>
      <c r="G25" s="12"/>
      <c r="H25" s="12"/>
      <c r="I25" s="12"/>
      <c r="J25" s="12"/>
      <c r="K25" s="12"/>
      <c r="L25" s="10"/>
    </row>
    <row r="26" spans="2:12" ht="13.2" thickBot="1" x14ac:dyDescent="0.25">
      <c r="B26" s="35"/>
      <c r="C26" s="12"/>
      <c r="D26" s="42" t="s">
        <v>56</v>
      </c>
      <c r="E26" s="12" t="s">
        <v>13</v>
      </c>
      <c r="F26" s="12"/>
      <c r="G26" s="12"/>
      <c r="H26" s="12"/>
      <c r="I26" s="43"/>
      <c r="J26" s="12" t="s">
        <v>14</v>
      </c>
      <c r="K26" s="12"/>
      <c r="L26" s="10"/>
    </row>
    <row r="27" spans="2:12" x14ac:dyDescent="0.2">
      <c r="B27" s="35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2:12" x14ac:dyDescent="0.2">
      <c r="B28" s="35"/>
      <c r="C28" s="12"/>
      <c r="D28" s="12"/>
      <c r="E28" s="12"/>
      <c r="F28" s="41"/>
      <c r="G28" s="41"/>
      <c r="H28" s="41"/>
      <c r="I28" s="41"/>
      <c r="J28" s="41"/>
      <c r="K28" s="41"/>
      <c r="L28" s="18"/>
    </row>
    <row r="29" spans="2:12" x14ac:dyDescent="0.2">
      <c r="B29" s="28" t="s">
        <v>15</v>
      </c>
      <c r="C29" s="44"/>
      <c r="D29" s="44" t="s">
        <v>16</v>
      </c>
      <c r="E29" s="45" t="s">
        <v>17</v>
      </c>
      <c r="F29" s="46" t="s">
        <v>18</v>
      </c>
      <c r="G29" s="29" t="s">
        <v>19</v>
      </c>
      <c r="H29" s="36" t="s">
        <v>20</v>
      </c>
      <c r="I29" s="47" t="s">
        <v>21</v>
      </c>
      <c r="J29" s="29"/>
      <c r="K29" s="48" t="s">
        <v>22</v>
      </c>
      <c r="L29" s="10"/>
    </row>
    <row r="30" spans="2:12" x14ac:dyDescent="0.2">
      <c r="B30" s="35"/>
      <c r="C30" s="12"/>
      <c r="D30" s="12"/>
      <c r="E30" s="49"/>
      <c r="F30" s="50"/>
      <c r="G30" s="12"/>
      <c r="H30" s="36"/>
      <c r="I30" s="50" t="s">
        <v>23</v>
      </c>
      <c r="J30" s="12"/>
      <c r="K30" s="37">
        <v>7000000</v>
      </c>
      <c r="L30" s="10"/>
    </row>
    <row r="31" spans="2:12" x14ac:dyDescent="0.2">
      <c r="B31" s="35" t="s">
        <v>24</v>
      </c>
      <c r="C31" s="12"/>
      <c r="D31" s="12">
        <v>2026</v>
      </c>
      <c r="E31" s="49" t="s">
        <v>70</v>
      </c>
      <c r="F31" s="51" t="s">
        <v>25</v>
      </c>
      <c r="G31" s="12"/>
      <c r="H31" s="52"/>
      <c r="I31" s="50" t="s">
        <v>19</v>
      </c>
      <c r="J31" s="12"/>
      <c r="K31" s="12"/>
      <c r="L31" s="10"/>
    </row>
    <row r="32" spans="2:12" x14ac:dyDescent="0.2">
      <c r="B32" s="35"/>
      <c r="C32" s="12"/>
      <c r="D32" s="12"/>
      <c r="E32" s="49"/>
      <c r="F32" s="50"/>
      <c r="G32" s="12"/>
      <c r="H32" s="12"/>
      <c r="I32" s="50" t="s">
        <v>26</v>
      </c>
      <c r="J32" s="12"/>
      <c r="K32" s="37">
        <v>0</v>
      </c>
      <c r="L32" s="10"/>
    </row>
    <row r="33" spans="2:12" x14ac:dyDescent="0.2">
      <c r="B33" s="35" t="s">
        <v>27</v>
      </c>
      <c r="C33" s="12"/>
      <c r="D33" s="12">
        <v>2026</v>
      </c>
      <c r="E33" s="49" t="s">
        <v>62</v>
      </c>
      <c r="F33" s="50" t="s">
        <v>28</v>
      </c>
      <c r="G33" s="12"/>
      <c r="H33" s="12"/>
      <c r="I33" s="50"/>
      <c r="J33" s="12"/>
      <c r="K33" s="12"/>
      <c r="L33" s="10"/>
    </row>
    <row r="34" spans="2:12" x14ac:dyDescent="0.2">
      <c r="B34" s="35"/>
      <c r="C34" s="12"/>
      <c r="D34" s="12"/>
      <c r="E34" s="12"/>
      <c r="F34" s="50" t="s">
        <v>29</v>
      </c>
      <c r="G34" s="12"/>
      <c r="H34" s="12"/>
      <c r="I34" s="50" t="s">
        <v>30</v>
      </c>
      <c r="J34" s="12"/>
      <c r="K34" s="37">
        <f>J14</f>
        <v>3067876.8</v>
      </c>
      <c r="L34" s="10"/>
    </row>
    <row r="35" spans="2:12" x14ac:dyDescent="0.2">
      <c r="B35" s="35"/>
      <c r="C35" s="12"/>
      <c r="D35" s="12"/>
      <c r="E35" s="12"/>
      <c r="F35" s="50"/>
      <c r="G35" s="12"/>
      <c r="H35" s="12"/>
      <c r="I35" s="50"/>
      <c r="J35" s="12"/>
      <c r="K35" s="37"/>
      <c r="L35" s="10"/>
    </row>
    <row r="36" spans="2:12" x14ac:dyDescent="0.2">
      <c r="B36" s="40"/>
      <c r="C36" s="41"/>
      <c r="D36" s="41"/>
      <c r="E36" s="41"/>
      <c r="F36" s="17"/>
      <c r="G36" s="41"/>
      <c r="H36" s="53"/>
      <c r="I36" s="17" t="s">
        <v>60</v>
      </c>
      <c r="J36" s="41"/>
      <c r="K36" s="54">
        <f>K30-K32-K34</f>
        <v>3932123.2</v>
      </c>
      <c r="L36" s="18"/>
    </row>
    <row r="37" spans="2:12" x14ac:dyDescent="0.2">
      <c r="B37" s="55" t="s">
        <v>19</v>
      </c>
      <c r="C37" s="44"/>
      <c r="D37" s="44"/>
      <c r="E37" s="44"/>
      <c r="F37" s="49"/>
      <c r="G37" s="12"/>
      <c r="H37" s="12"/>
      <c r="I37" s="12"/>
      <c r="J37" s="12"/>
      <c r="K37" s="12"/>
      <c r="L37" s="10"/>
    </row>
    <row r="38" spans="2:12" x14ac:dyDescent="0.2">
      <c r="B38" s="11" t="s">
        <v>31</v>
      </c>
      <c r="C38" s="12"/>
      <c r="D38" s="12"/>
      <c r="E38" s="29" t="s">
        <v>32</v>
      </c>
      <c r="F38" s="49"/>
      <c r="G38" s="29" t="s">
        <v>33</v>
      </c>
      <c r="H38" s="12"/>
      <c r="I38" s="12"/>
      <c r="J38" s="29" t="s">
        <v>32</v>
      </c>
      <c r="K38" s="12"/>
      <c r="L38" s="34"/>
    </row>
    <row r="39" spans="2:12" x14ac:dyDescent="0.2">
      <c r="B39" s="35"/>
      <c r="C39" s="12"/>
      <c r="D39" s="12"/>
      <c r="E39" s="48" t="s">
        <v>22</v>
      </c>
      <c r="F39" s="49"/>
      <c r="G39" s="12"/>
      <c r="H39" s="12"/>
      <c r="I39" s="12"/>
      <c r="J39" s="48" t="s">
        <v>34</v>
      </c>
      <c r="K39" s="12"/>
      <c r="L39" s="10"/>
    </row>
    <row r="40" spans="2:12" x14ac:dyDescent="0.2">
      <c r="B40" s="35" t="s">
        <v>35</v>
      </c>
      <c r="C40" s="12"/>
      <c r="D40" s="12"/>
      <c r="E40" s="12"/>
      <c r="F40" s="49"/>
      <c r="G40" s="12" t="s">
        <v>36</v>
      </c>
      <c r="H40" s="12"/>
      <c r="I40" s="12"/>
      <c r="J40" s="37">
        <f>J14</f>
        <v>3067876.8</v>
      </c>
      <c r="K40" s="12"/>
      <c r="L40" s="10"/>
    </row>
    <row r="41" spans="2:12" x14ac:dyDescent="0.2">
      <c r="B41" s="35"/>
      <c r="C41" s="12"/>
      <c r="D41" s="12"/>
      <c r="E41" s="12"/>
      <c r="F41" s="49"/>
      <c r="G41" s="12"/>
      <c r="H41" s="12"/>
      <c r="I41" s="12"/>
      <c r="J41" s="12"/>
      <c r="K41" s="12"/>
      <c r="L41" s="10"/>
    </row>
    <row r="42" spans="2:12" x14ac:dyDescent="0.2">
      <c r="B42" s="35" t="s">
        <v>37</v>
      </c>
      <c r="C42" s="12"/>
      <c r="D42" s="12"/>
      <c r="E42" s="12"/>
      <c r="F42" s="49"/>
      <c r="G42" s="12" t="s">
        <v>38</v>
      </c>
      <c r="H42" s="12"/>
      <c r="I42" s="12"/>
      <c r="J42" s="56">
        <v>0</v>
      </c>
      <c r="K42" s="12"/>
      <c r="L42" s="10"/>
    </row>
    <row r="43" spans="2:12" x14ac:dyDescent="0.2">
      <c r="B43" s="35"/>
      <c r="C43" s="12"/>
      <c r="D43" s="12"/>
      <c r="E43" s="12"/>
      <c r="F43" s="49"/>
      <c r="G43" s="12"/>
      <c r="H43" s="12"/>
      <c r="I43" s="12"/>
      <c r="J43" s="56"/>
      <c r="K43" s="12"/>
      <c r="L43" s="10"/>
    </row>
    <row r="44" spans="2:12" x14ac:dyDescent="0.2">
      <c r="B44" s="35" t="s">
        <v>39</v>
      </c>
      <c r="C44" s="12"/>
      <c r="D44" s="12"/>
      <c r="E44" s="12"/>
      <c r="F44" s="49"/>
      <c r="G44" s="12" t="s">
        <v>40</v>
      </c>
      <c r="H44" s="12"/>
      <c r="I44" s="12"/>
      <c r="J44" s="56">
        <v>0</v>
      </c>
      <c r="K44" s="12"/>
      <c r="L44" s="10"/>
    </row>
    <row r="45" spans="2:12" x14ac:dyDescent="0.2">
      <c r="B45" s="35"/>
      <c r="C45" s="12"/>
      <c r="D45" s="12"/>
      <c r="E45" s="12"/>
      <c r="F45" s="49"/>
      <c r="G45" s="12"/>
      <c r="H45" s="12"/>
      <c r="I45" s="12"/>
      <c r="J45" s="12"/>
      <c r="K45" s="12"/>
      <c r="L45" s="10"/>
    </row>
    <row r="46" spans="2:12" ht="13.2" thickBot="1" x14ac:dyDescent="0.25">
      <c r="B46" s="35" t="s">
        <v>41</v>
      </c>
      <c r="C46" s="12"/>
      <c r="D46" s="12"/>
      <c r="E46" s="57">
        <f>J14</f>
        <v>3067876.8</v>
      </c>
      <c r="F46" s="49"/>
      <c r="G46" s="29" t="s">
        <v>42</v>
      </c>
      <c r="H46" s="12"/>
      <c r="I46" s="12"/>
      <c r="J46" s="58">
        <f>J40</f>
        <v>3067876.8</v>
      </c>
      <c r="K46" s="12"/>
      <c r="L46" s="10"/>
    </row>
    <row r="47" spans="2:12" ht="13.2" thickTop="1" x14ac:dyDescent="0.2">
      <c r="B47" s="35"/>
      <c r="C47" s="12"/>
      <c r="D47" s="12"/>
      <c r="E47" s="12"/>
      <c r="F47" s="49"/>
      <c r="G47" s="12"/>
      <c r="H47" s="12"/>
      <c r="I47" s="12"/>
      <c r="J47" s="12"/>
      <c r="K47" s="12"/>
      <c r="L47" s="10"/>
    </row>
    <row r="48" spans="2:12" x14ac:dyDescent="0.2">
      <c r="B48" s="35" t="s">
        <v>43</v>
      </c>
      <c r="C48" s="12"/>
      <c r="D48" s="12"/>
      <c r="E48" s="59"/>
      <c r="F48" s="49"/>
      <c r="G48" s="44"/>
      <c r="H48" s="44"/>
      <c r="I48" s="44"/>
      <c r="J48" s="44"/>
      <c r="K48" s="44"/>
      <c r="L48" s="60"/>
    </row>
    <row r="49" spans="2:13" x14ac:dyDescent="0.2">
      <c r="B49" s="35"/>
      <c r="C49" s="12"/>
      <c r="D49" s="12"/>
      <c r="E49" s="12"/>
      <c r="F49" s="49"/>
      <c r="G49" s="29" t="s">
        <v>44</v>
      </c>
      <c r="H49" s="29"/>
      <c r="I49" s="29" t="s">
        <v>45</v>
      </c>
      <c r="J49" s="61"/>
      <c r="K49" s="12"/>
      <c r="L49" s="10"/>
      <c r="M49" s="19"/>
    </row>
    <row r="50" spans="2:13" ht="13.2" thickBot="1" x14ac:dyDescent="0.25">
      <c r="B50" s="11" t="s">
        <v>46</v>
      </c>
      <c r="C50" s="12"/>
      <c r="D50" s="12"/>
      <c r="E50" s="58">
        <f>SUM(E40:E48)</f>
        <v>3067876.8</v>
      </c>
      <c r="F50" s="62"/>
      <c r="G50" s="12"/>
      <c r="H50" s="12"/>
      <c r="I50" s="12"/>
      <c r="J50" s="12"/>
      <c r="K50" s="12"/>
      <c r="L50" s="10"/>
    </row>
    <row r="51" spans="2:13" ht="13.2" thickTop="1" x14ac:dyDescent="0.2">
      <c r="B51" s="40"/>
      <c r="C51" s="41"/>
      <c r="D51" s="41"/>
      <c r="E51" s="41"/>
      <c r="F51" s="53"/>
      <c r="G51" s="63"/>
      <c r="H51" s="41"/>
      <c r="I51" s="41"/>
      <c r="J51" s="41"/>
      <c r="K51" s="41"/>
      <c r="L51" s="18"/>
    </row>
    <row r="52" spans="2:13" x14ac:dyDescent="0.2">
      <c r="B52" s="28"/>
      <c r="C52" s="44"/>
      <c r="D52" s="44"/>
      <c r="E52" s="44"/>
      <c r="F52" s="44"/>
      <c r="G52" s="12"/>
      <c r="H52" s="12"/>
      <c r="I52" s="12"/>
      <c r="J52" s="12"/>
      <c r="K52" s="12"/>
      <c r="L52" s="10"/>
    </row>
    <row r="53" spans="2:13" x14ac:dyDescent="0.2">
      <c r="B53" s="35"/>
      <c r="C53" s="12" t="s">
        <v>66</v>
      </c>
      <c r="D53" s="12"/>
      <c r="E53" s="12"/>
      <c r="F53" s="12"/>
      <c r="G53" s="12"/>
      <c r="H53" s="12"/>
      <c r="I53" s="12"/>
      <c r="J53" s="12"/>
      <c r="K53" s="12"/>
      <c r="L53" s="10"/>
    </row>
    <row r="54" spans="2:13" x14ac:dyDescent="0.2">
      <c r="B54" s="35"/>
      <c r="C54" s="12"/>
      <c r="D54" s="12"/>
      <c r="E54" s="12"/>
      <c r="F54" s="12"/>
      <c r="G54" s="12"/>
      <c r="H54" s="12"/>
      <c r="I54" s="12"/>
      <c r="J54" s="12"/>
      <c r="K54" s="12"/>
      <c r="L54" s="10"/>
    </row>
    <row r="55" spans="2:13" x14ac:dyDescent="0.2">
      <c r="B55" s="35"/>
      <c r="C55" s="12" t="s">
        <v>47</v>
      </c>
      <c r="D55" s="12"/>
      <c r="E55" s="12"/>
      <c r="F55" s="12" t="s">
        <v>48</v>
      </c>
      <c r="G55" s="12"/>
      <c r="H55" s="12"/>
      <c r="I55" s="12"/>
      <c r="J55" s="12" t="s">
        <v>48</v>
      </c>
      <c r="K55" s="12"/>
      <c r="L55" s="10"/>
    </row>
    <row r="56" spans="2:13" x14ac:dyDescent="0.2">
      <c r="B56" s="35"/>
      <c r="C56" s="12"/>
      <c r="D56" s="12"/>
      <c r="E56" s="12"/>
      <c r="F56" s="12"/>
      <c r="G56" s="12"/>
      <c r="H56" s="12"/>
      <c r="I56" s="12"/>
      <c r="J56" s="12"/>
      <c r="K56" s="12"/>
      <c r="L56" s="10"/>
    </row>
    <row r="57" spans="2:13" x14ac:dyDescent="0.2">
      <c r="B57" s="35"/>
      <c r="C57" s="12"/>
      <c r="D57" s="12"/>
      <c r="E57" s="12"/>
      <c r="F57" s="12"/>
      <c r="G57" s="12"/>
      <c r="H57" s="12"/>
      <c r="I57" s="12"/>
      <c r="J57" s="12"/>
      <c r="K57" s="12"/>
      <c r="L57" s="10"/>
    </row>
    <row r="58" spans="2:13" x14ac:dyDescent="0.2">
      <c r="B58" s="35"/>
      <c r="C58" s="12"/>
      <c r="D58" s="12"/>
      <c r="E58" s="12"/>
      <c r="F58" s="12"/>
      <c r="G58" s="12"/>
      <c r="H58" s="12"/>
      <c r="I58" s="12"/>
      <c r="J58" s="12"/>
      <c r="K58" s="12"/>
      <c r="L58" s="10"/>
    </row>
    <row r="59" spans="2:13" x14ac:dyDescent="0.2">
      <c r="B59" s="35"/>
      <c r="C59" s="12"/>
      <c r="D59" s="12"/>
      <c r="E59" s="12"/>
      <c r="F59" s="12"/>
      <c r="G59" s="12"/>
      <c r="H59" s="12"/>
      <c r="I59" s="12"/>
      <c r="J59" s="12"/>
      <c r="K59" s="12"/>
      <c r="L59" s="10"/>
    </row>
    <row r="60" spans="2:13" x14ac:dyDescent="0.2">
      <c r="B60" s="35"/>
      <c r="C60" s="41"/>
      <c r="D60" s="41"/>
      <c r="E60" s="12"/>
      <c r="F60" s="41"/>
      <c r="G60" s="41"/>
      <c r="H60" s="41"/>
      <c r="I60" s="12"/>
      <c r="J60" s="41"/>
      <c r="K60" s="41"/>
      <c r="L60" s="18"/>
    </row>
    <row r="61" spans="2:13" x14ac:dyDescent="0.2">
      <c r="B61" s="35"/>
      <c r="C61" s="12"/>
      <c r="D61" s="12"/>
      <c r="E61" s="12"/>
      <c r="F61" s="12"/>
      <c r="G61" s="12"/>
      <c r="H61" s="12"/>
      <c r="I61" s="12"/>
      <c r="J61" s="12"/>
      <c r="K61" s="12"/>
      <c r="L61" s="10"/>
    </row>
    <row r="62" spans="2:13" x14ac:dyDescent="0.2">
      <c r="B62" s="35"/>
      <c r="C62" s="12" t="s">
        <v>71</v>
      </c>
      <c r="D62" s="12"/>
      <c r="E62" s="12"/>
      <c r="F62" s="12" t="s">
        <v>49</v>
      </c>
      <c r="G62" s="12"/>
      <c r="H62" s="12"/>
      <c r="I62" s="12"/>
      <c r="J62" s="12" t="s">
        <v>50</v>
      </c>
      <c r="K62" s="12"/>
      <c r="L62" s="10"/>
    </row>
    <row r="63" spans="2:13" ht="13.2" thickBot="1" x14ac:dyDescent="0.25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7"/>
    </row>
    <row r="64" spans="2:13" ht="13.2" thickTop="1" x14ac:dyDescent="0.2"/>
    <row r="65" spans="2:4" x14ac:dyDescent="0.2">
      <c r="D65" s="64"/>
    </row>
    <row r="67" spans="2:4" x14ac:dyDescent="0.2">
      <c r="B67" s="19"/>
    </row>
  </sheetData>
  <mergeCells count="2">
    <mergeCell ref="F4:I4"/>
    <mergeCell ref="F5:I5"/>
  </mergeCells>
  <phoneticPr fontId="0" type="noConversion"/>
  <pageMargins left="0.75" right="0.75" top="1" bottom="1" header="0.5" footer="0.5"/>
  <pageSetup paperSize="9" scale="71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I85"/>
  <sheetViews>
    <sheetView tabSelected="1" workbookViewId="0">
      <selection activeCell="O16" sqref="O16"/>
    </sheetView>
  </sheetViews>
  <sheetFormatPr defaultColWidth="9.109375" defaultRowHeight="12.6" x14ac:dyDescent="0.2"/>
  <cols>
    <col min="1" max="1" width="3.6640625" style="1" customWidth="1"/>
    <col min="2" max="3" width="10.6640625" style="1" customWidth="1"/>
    <col min="4" max="4" width="18.21875" style="1" customWidth="1"/>
    <col min="5" max="7" width="10.6640625" style="1" customWidth="1"/>
    <col min="8" max="8" width="16.109375" style="1" customWidth="1"/>
    <col min="9" max="9" width="10.6640625" style="1" customWidth="1"/>
    <col min="10" max="16384" width="9.109375" style="1"/>
  </cols>
  <sheetData>
    <row r="3" spans="2:9" ht="30" customHeight="1" thickBot="1" x14ac:dyDescent="0.25"/>
    <row r="4" spans="2:9" ht="19.5" customHeight="1" thickTop="1" x14ac:dyDescent="0.2">
      <c r="B4" s="65" t="s">
        <v>1</v>
      </c>
      <c r="C4" s="3"/>
      <c r="D4" s="3"/>
      <c r="E4" s="66"/>
      <c r="F4" s="5"/>
      <c r="G4" s="5"/>
      <c r="H4" s="6"/>
      <c r="I4" s="9"/>
    </row>
    <row r="5" spans="2:9" ht="17.399999999999999" x14ac:dyDescent="0.3">
      <c r="B5" s="11" t="str">
        <f>'Capex form'!B4</f>
        <v>ELASTOMERIC ENGINEERING CO.LTD</v>
      </c>
      <c r="C5" s="12"/>
      <c r="D5" s="12"/>
      <c r="E5" s="67" t="s">
        <v>52</v>
      </c>
      <c r="F5" s="68"/>
      <c r="G5" s="68"/>
      <c r="H5" s="69"/>
      <c r="I5" s="10"/>
    </row>
    <row r="6" spans="2:9" ht="17.399999999999999" x14ac:dyDescent="0.3">
      <c r="B6" s="70"/>
      <c r="C6" s="12"/>
      <c r="D6" s="12"/>
      <c r="E6" s="67" t="s">
        <v>53</v>
      </c>
      <c r="F6" s="68"/>
      <c r="G6" s="68"/>
      <c r="H6" s="69"/>
      <c r="I6" s="10" t="s">
        <v>61</v>
      </c>
    </row>
    <row r="7" spans="2:9" ht="19.5" customHeight="1" x14ac:dyDescent="0.3">
      <c r="B7" s="35"/>
      <c r="C7" s="12"/>
      <c r="D7" s="12"/>
      <c r="E7" s="71"/>
      <c r="F7" s="72"/>
      <c r="G7" s="72"/>
      <c r="H7" s="73"/>
      <c r="I7" s="10"/>
    </row>
    <row r="8" spans="2:9" ht="15" customHeight="1" x14ac:dyDescent="0.2">
      <c r="B8" s="35"/>
      <c r="C8" s="12"/>
      <c r="D8" s="12"/>
      <c r="E8" s="12"/>
      <c r="F8" s="12"/>
      <c r="G8" s="12"/>
      <c r="H8" s="12"/>
      <c r="I8" s="10"/>
    </row>
    <row r="9" spans="2:9" ht="15" customHeight="1" x14ac:dyDescent="0.2">
      <c r="B9" s="35"/>
      <c r="C9" s="12"/>
      <c r="D9" s="12"/>
      <c r="E9" s="12"/>
      <c r="F9" s="12"/>
      <c r="G9" s="12"/>
      <c r="H9" s="12"/>
      <c r="I9" s="10"/>
    </row>
    <row r="10" spans="2:9" ht="15" customHeight="1" x14ac:dyDescent="0.2">
      <c r="B10" s="35"/>
      <c r="C10" s="12"/>
      <c r="D10" s="12"/>
      <c r="E10" s="12"/>
      <c r="F10" s="12"/>
      <c r="G10" s="12"/>
      <c r="H10" s="12"/>
      <c r="I10" s="10"/>
    </row>
    <row r="11" spans="2:9" ht="15" customHeight="1" x14ac:dyDescent="0.2">
      <c r="B11" s="35"/>
      <c r="C11" s="12"/>
      <c r="D11" s="12"/>
      <c r="E11" s="12"/>
      <c r="F11" s="12"/>
      <c r="G11" s="12"/>
      <c r="H11" s="12"/>
      <c r="I11" s="10"/>
    </row>
    <row r="12" spans="2:9" ht="15" customHeight="1" x14ac:dyDescent="0.2">
      <c r="B12" s="35"/>
      <c r="C12" s="12"/>
      <c r="D12" s="12"/>
      <c r="E12" s="12"/>
      <c r="F12" s="12"/>
      <c r="G12" s="12"/>
      <c r="H12" s="12"/>
      <c r="I12" s="10"/>
    </row>
    <row r="13" spans="2:9" ht="15" customHeight="1" x14ac:dyDescent="0.2">
      <c r="B13" s="35"/>
      <c r="C13" s="12"/>
      <c r="D13" s="12"/>
      <c r="E13" s="12"/>
      <c r="F13" s="12"/>
      <c r="G13" s="12"/>
      <c r="H13" s="12"/>
      <c r="I13" s="10"/>
    </row>
    <row r="14" spans="2:9" ht="15" customHeight="1" x14ac:dyDescent="0.2">
      <c r="B14" s="35"/>
      <c r="C14" s="12"/>
      <c r="D14" s="12"/>
      <c r="E14" s="12"/>
      <c r="F14" s="12"/>
      <c r="G14" s="12"/>
      <c r="H14" s="12"/>
      <c r="I14" s="10"/>
    </row>
    <row r="15" spans="2:9" ht="15" customHeight="1" x14ac:dyDescent="0.2">
      <c r="B15" s="35"/>
      <c r="C15" s="12"/>
      <c r="D15" s="12"/>
      <c r="E15" s="12"/>
      <c r="F15" s="12"/>
      <c r="G15" s="12"/>
      <c r="H15" s="12"/>
      <c r="I15" s="10"/>
    </row>
    <row r="16" spans="2:9" ht="15" customHeight="1" x14ac:dyDescent="0.2">
      <c r="B16" s="35"/>
      <c r="C16" s="12"/>
      <c r="D16" s="12"/>
      <c r="E16" s="12"/>
      <c r="F16" s="12"/>
      <c r="G16" s="12"/>
      <c r="H16" s="12"/>
      <c r="I16" s="10"/>
    </row>
    <row r="17" spans="2:9" ht="15" customHeight="1" x14ac:dyDescent="0.2">
      <c r="B17" s="35"/>
      <c r="C17" s="12"/>
      <c r="D17" s="12"/>
      <c r="E17" s="12"/>
      <c r="F17" s="12"/>
      <c r="G17" s="12"/>
      <c r="H17" s="12"/>
      <c r="I17" s="10"/>
    </row>
    <row r="18" spans="2:9" ht="15" customHeight="1" x14ac:dyDescent="0.2">
      <c r="B18" s="35"/>
      <c r="C18" s="12"/>
      <c r="D18" s="12"/>
      <c r="E18" s="12"/>
      <c r="F18" s="12"/>
      <c r="G18" s="12"/>
      <c r="H18" s="12"/>
      <c r="I18" s="10"/>
    </row>
    <row r="19" spans="2:9" ht="15" customHeight="1" x14ac:dyDescent="0.2">
      <c r="B19" s="35"/>
      <c r="C19" s="12"/>
      <c r="D19" s="12"/>
      <c r="E19" s="12"/>
      <c r="F19" s="12"/>
      <c r="G19" s="12"/>
      <c r="H19" s="12"/>
      <c r="I19" s="10"/>
    </row>
    <row r="20" spans="2:9" ht="15" customHeight="1" x14ac:dyDescent="0.2">
      <c r="B20" s="35"/>
      <c r="C20" s="12"/>
      <c r="D20" s="12"/>
      <c r="E20" s="12"/>
      <c r="F20" s="12"/>
      <c r="G20" s="12"/>
      <c r="H20" s="12"/>
      <c r="I20" s="10"/>
    </row>
    <row r="21" spans="2:9" ht="15" customHeight="1" x14ac:dyDescent="0.2">
      <c r="B21" s="35"/>
      <c r="C21" s="12"/>
      <c r="D21" s="12"/>
      <c r="E21" s="12"/>
      <c r="F21" s="12"/>
      <c r="G21" s="12"/>
      <c r="H21" s="12"/>
      <c r="I21" s="10"/>
    </row>
    <row r="22" spans="2:9" ht="15" customHeight="1" x14ac:dyDescent="0.2">
      <c r="B22" s="35"/>
      <c r="C22" s="12"/>
      <c r="D22" s="12"/>
      <c r="E22" s="12"/>
      <c r="F22" s="12"/>
      <c r="G22" s="12"/>
      <c r="H22" s="12"/>
      <c r="I22" s="10"/>
    </row>
    <row r="23" spans="2:9" ht="15" customHeight="1" x14ac:dyDescent="0.2">
      <c r="B23" s="35"/>
      <c r="C23" s="12"/>
      <c r="D23" s="12"/>
      <c r="E23" s="12"/>
      <c r="F23" s="12"/>
      <c r="G23" s="12"/>
      <c r="H23" s="12"/>
      <c r="I23" s="10"/>
    </row>
    <row r="24" spans="2:9" ht="15" customHeight="1" x14ac:dyDescent="0.2">
      <c r="B24" s="35"/>
      <c r="C24" s="12"/>
      <c r="D24" s="12"/>
      <c r="E24" s="12"/>
      <c r="F24" s="12"/>
      <c r="G24" s="12"/>
      <c r="H24" s="12"/>
      <c r="I24" s="10"/>
    </row>
    <row r="25" spans="2:9" ht="15" customHeight="1" x14ac:dyDescent="0.2">
      <c r="B25" s="35"/>
      <c r="C25" s="12"/>
      <c r="D25" s="12"/>
      <c r="E25" s="12"/>
      <c r="F25" s="12"/>
      <c r="G25" s="12"/>
      <c r="H25" s="12"/>
      <c r="I25" s="10"/>
    </row>
    <row r="26" spans="2:9" ht="15" customHeight="1" x14ac:dyDescent="0.2">
      <c r="B26" s="35"/>
      <c r="C26" s="12"/>
      <c r="D26" s="12"/>
      <c r="E26" s="12"/>
      <c r="F26" s="12"/>
      <c r="G26" s="12"/>
      <c r="H26" s="12"/>
      <c r="I26" s="10"/>
    </row>
    <row r="27" spans="2:9" ht="15" customHeight="1" x14ac:dyDescent="0.2">
      <c r="B27" s="35"/>
      <c r="C27" s="12"/>
      <c r="D27" s="12"/>
      <c r="E27" s="12"/>
      <c r="F27" s="12"/>
      <c r="G27" s="12"/>
      <c r="H27" s="12"/>
      <c r="I27" s="10"/>
    </row>
    <row r="28" spans="2:9" ht="15" customHeight="1" x14ac:dyDescent="0.2">
      <c r="B28" s="35"/>
      <c r="C28" s="12"/>
      <c r="D28" s="12"/>
      <c r="E28" s="12"/>
      <c r="F28" s="12"/>
      <c r="G28" s="12"/>
      <c r="H28" s="12"/>
      <c r="I28" s="10"/>
    </row>
    <row r="29" spans="2:9" ht="15" customHeight="1" x14ac:dyDescent="0.2">
      <c r="B29" s="35"/>
      <c r="C29" s="12"/>
      <c r="D29" s="12"/>
      <c r="E29" s="12"/>
      <c r="F29" s="12"/>
      <c r="G29" s="12"/>
      <c r="H29" s="12"/>
      <c r="I29" s="10"/>
    </row>
    <row r="30" spans="2:9" ht="15" customHeight="1" x14ac:dyDescent="0.2">
      <c r="B30" s="35"/>
      <c r="C30" s="12"/>
      <c r="D30" s="12"/>
      <c r="E30" s="12"/>
      <c r="F30" s="12"/>
      <c r="G30" s="12"/>
      <c r="H30" s="12"/>
      <c r="I30" s="10"/>
    </row>
    <row r="31" spans="2:9" ht="15" customHeight="1" x14ac:dyDescent="0.2">
      <c r="B31" s="35"/>
      <c r="C31" s="12"/>
      <c r="D31" s="12"/>
      <c r="E31" s="12"/>
      <c r="F31" s="12"/>
      <c r="G31" s="12"/>
      <c r="H31" s="12"/>
      <c r="I31" s="10"/>
    </row>
    <row r="32" spans="2:9" ht="15" customHeight="1" x14ac:dyDescent="0.2">
      <c r="B32" s="35"/>
      <c r="C32" s="12"/>
      <c r="D32" s="12"/>
      <c r="E32" s="12"/>
      <c r="F32" s="12"/>
      <c r="G32" s="12"/>
      <c r="H32" s="12"/>
      <c r="I32" s="10"/>
    </row>
    <row r="33" spans="2:9" ht="15" customHeight="1" x14ac:dyDescent="0.2">
      <c r="B33" s="35"/>
      <c r="C33" s="12"/>
      <c r="D33" s="12"/>
      <c r="E33" s="12"/>
      <c r="F33" s="12"/>
      <c r="G33" s="12"/>
      <c r="H33" s="12"/>
      <c r="I33" s="10"/>
    </row>
    <row r="34" spans="2:9" ht="15" customHeight="1" x14ac:dyDescent="0.2">
      <c r="B34" s="35"/>
      <c r="C34" s="12"/>
      <c r="D34" s="12"/>
      <c r="E34" s="12"/>
      <c r="F34" s="12"/>
      <c r="G34" s="12"/>
      <c r="H34" s="12"/>
      <c r="I34" s="10"/>
    </row>
    <row r="35" spans="2:9" ht="15" customHeight="1" x14ac:dyDescent="0.2">
      <c r="B35" s="35"/>
      <c r="C35" s="12"/>
      <c r="D35" s="12"/>
      <c r="E35" s="12"/>
      <c r="F35" s="12"/>
      <c r="G35" s="12"/>
      <c r="H35" s="12"/>
      <c r="I35" s="10"/>
    </row>
    <row r="36" spans="2:9" ht="15" customHeight="1" x14ac:dyDescent="0.2">
      <c r="B36" s="35"/>
      <c r="C36" s="12"/>
      <c r="D36" s="12"/>
      <c r="E36" s="12"/>
      <c r="F36" s="12"/>
      <c r="G36" s="12"/>
      <c r="H36" s="12"/>
      <c r="I36" s="10"/>
    </row>
    <row r="37" spans="2:9" ht="15" customHeight="1" x14ac:dyDescent="0.2">
      <c r="B37" s="35"/>
      <c r="C37" s="12"/>
      <c r="D37" s="12"/>
      <c r="E37" s="12"/>
      <c r="F37" s="12"/>
      <c r="G37" s="12"/>
      <c r="H37" s="12"/>
      <c r="I37" s="10"/>
    </row>
    <row r="38" spans="2:9" ht="15" customHeight="1" x14ac:dyDescent="0.2">
      <c r="B38" s="35"/>
      <c r="C38" s="12"/>
      <c r="D38" s="12"/>
      <c r="E38" s="12"/>
      <c r="F38" s="12"/>
      <c r="G38" s="12"/>
      <c r="H38" s="12"/>
      <c r="I38" s="10"/>
    </row>
    <row r="39" spans="2:9" ht="15" customHeight="1" x14ac:dyDescent="0.2">
      <c r="B39" s="35"/>
      <c r="C39" s="12"/>
      <c r="D39" s="12"/>
      <c r="E39" s="12"/>
      <c r="F39" s="12"/>
      <c r="G39" s="12"/>
      <c r="H39" s="12"/>
      <c r="I39" s="10"/>
    </row>
    <row r="40" spans="2:9" ht="15" customHeight="1" x14ac:dyDescent="0.2">
      <c r="B40" s="35"/>
      <c r="C40" s="12"/>
      <c r="D40" s="12"/>
      <c r="E40" s="12"/>
      <c r="F40" s="12"/>
      <c r="G40" s="12"/>
      <c r="H40" s="12"/>
      <c r="I40" s="10"/>
    </row>
    <row r="41" spans="2:9" ht="15" customHeight="1" x14ac:dyDescent="0.2">
      <c r="B41" s="35"/>
      <c r="C41" s="12"/>
      <c r="D41" s="12"/>
      <c r="E41" s="12"/>
      <c r="F41" s="12"/>
      <c r="G41" s="12"/>
      <c r="H41" s="12"/>
      <c r="I41" s="10"/>
    </row>
    <row r="42" spans="2:9" ht="15" customHeight="1" x14ac:dyDescent="0.2">
      <c r="B42" s="35"/>
      <c r="C42" s="12"/>
      <c r="D42" s="12"/>
      <c r="E42" s="12"/>
      <c r="F42" s="12"/>
      <c r="G42" s="12"/>
      <c r="H42" s="12"/>
      <c r="I42" s="10"/>
    </row>
    <row r="43" spans="2:9" ht="15" customHeight="1" x14ac:dyDescent="0.2">
      <c r="B43" s="35"/>
      <c r="C43" s="12"/>
      <c r="D43" s="12"/>
      <c r="E43" s="12"/>
      <c r="F43" s="12"/>
      <c r="G43" s="12"/>
      <c r="H43" s="12"/>
      <c r="I43" s="10"/>
    </row>
    <row r="44" spans="2:9" ht="15" customHeight="1" x14ac:dyDescent="0.2">
      <c r="B44" s="35"/>
      <c r="C44" s="12"/>
      <c r="D44" s="12"/>
      <c r="E44" s="12"/>
      <c r="F44" s="12"/>
      <c r="G44" s="12"/>
      <c r="H44" s="12"/>
      <c r="I44" s="10"/>
    </row>
    <row r="45" spans="2:9" ht="15" customHeight="1" x14ac:dyDescent="0.2">
      <c r="B45" s="35"/>
      <c r="C45" s="12"/>
      <c r="D45" s="12"/>
      <c r="E45" s="12"/>
      <c r="F45" s="12"/>
      <c r="G45" s="12"/>
      <c r="H45" s="12"/>
      <c r="I45" s="10"/>
    </row>
    <row r="46" spans="2:9" ht="15" customHeight="1" x14ac:dyDescent="0.2">
      <c r="B46" s="35"/>
      <c r="C46" s="12"/>
      <c r="D46" s="12"/>
      <c r="E46" s="12"/>
      <c r="F46" s="12"/>
      <c r="G46" s="12"/>
      <c r="H46" s="12"/>
      <c r="I46" s="10"/>
    </row>
    <row r="47" spans="2:9" ht="15" customHeight="1" x14ac:dyDescent="0.2">
      <c r="B47" s="35"/>
      <c r="C47" s="12"/>
      <c r="D47" s="12"/>
      <c r="E47" s="12"/>
      <c r="F47" s="12"/>
      <c r="G47" s="12"/>
      <c r="H47" s="12"/>
      <c r="I47" s="10"/>
    </row>
    <row r="48" spans="2:9" ht="15" customHeight="1" x14ac:dyDescent="0.2">
      <c r="B48" s="35"/>
      <c r="C48" s="12"/>
      <c r="D48" s="12"/>
      <c r="E48" s="12"/>
      <c r="F48" s="12"/>
      <c r="G48" s="12"/>
      <c r="H48" s="12"/>
      <c r="I48" s="10"/>
    </row>
    <row r="49" spans="2:9" ht="15" customHeight="1" x14ac:dyDescent="0.2">
      <c r="B49" s="35"/>
      <c r="C49" s="12"/>
      <c r="D49" s="12"/>
      <c r="E49" s="12"/>
      <c r="F49" s="12"/>
      <c r="G49" s="12"/>
      <c r="H49" s="12"/>
      <c r="I49" s="10"/>
    </row>
    <row r="50" spans="2:9" ht="15" customHeight="1" thickBot="1" x14ac:dyDescent="0.25">
      <c r="B50" s="20"/>
      <c r="C50" s="21"/>
      <c r="D50" s="21"/>
      <c r="E50" s="21"/>
      <c r="F50" s="21"/>
      <c r="G50" s="21"/>
      <c r="H50" s="21"/>
      <c r="I50" s="27"/>
    </row>
    <row r="51" spans="2:9" ht="15" customHeight="1" thickTop="1" x14ac:dyDescent="0.2"/>
    <row r="52" spans="2:9" ht="15" customHeight="1" x14ac:dyDescent="0.2"/>
    <row r="53" spans="2:9" ht="15" customHeight="1" x14ac:dyDescent="0.2"/>
    <row r="54" spans="2:9" ht="15" customHeight="1" x14ac:dyDescent="0.2"/>
    <row r="55" spans="2:9" ht="15" customHeight="1" x14ac:dyDescent="0.2"/>
    <row r="56" spans="2:9" ht="15" customHeight="1" x14ac:dyDescent="0.2"/>
    <row r="57" spans="2:9" ht="15" customHeight="1" x14ac:dyDescent="0.2"/>
    <row r="58" spans="2:9" ht="15" customHeight="1" x14ac:dyDescent="0.2"/>
    <row r="59" spans="2:9" ht="15" customHeight="1" x14ac:dyDescent="0.2"/>
    <row r="60" spans="2:9" ht="15" customHeight="1" x14ac:dyDescent="0.2"/>
    <row r="61" spans="2:9" ht="15" customHeight="1" x14ac:dyDescent="0.2"/>
    <row r="62" spans="2:9" ht="15" customHeight="1" x14ac:dyDescent="0.2"/>
    <row r="63" spans="2:9" ht="15" customHeight="1" x14ac:dyDescent="0.2"/>
    <row r="64" spans="2:9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spans="9:9" ht="15" customHeight="1" x14ac:dyDescent="0.2"/>
    <row r="82" spans="9:9" ht="15" customHeight="1" x14ac:dyDescent="0.2"/>
    <row r="83" spans="9:9" ht="15" customHeight="1" x14ac:dyDescent="0.2"/>
    <row r="84" spans="9:9" ht="15" customHeight="1" x14ac:dyDescent="0.2"/>
    <row r="85" spans="9:9" ht="15" customHeight="1" x14ac:dyDescent="0.2">
      <c r="I85" s="74" t="s">
        <v>54</v>
      </c>
    </row>
  </sheetData>
  <mergeCells count="2">
    <mergeCell ref="E5:H5"/>
    <mergeCell ref="E6:H6"/>
  </mergeCells>
  <phoneticPr fontId="0" type="noConversion"/>
  <pageMargins left="0.75" right="0.75" top="1" bottom="1" header="0.5" footer="0.5"/>
  <pageSetup paperSize="9" scale="8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DC84257932447AAAD142C34F041B6" ma:contentTypeVersion="13" ma:contentTypeDescription="Create a new document." ma:contentTypeScope="" ma:versionID="f34aaa41a9e135bd2337409da42ae34c">
  <xsd:schema xmlns:xsd="http://www.w3.org/2001/XMLSchema" xmlns:xs="http://www.w3.org/2001/XMLSchema" xmlns:p="http://schemas.microsoft.com/office/2006/metadata/properties" xmlns:ns3="1fbf00ff-563a-40b7-a48d-84422a2d4f57" xmlns:ns4="c491fc4c-6041-4238-a0fe-b435d10dc092" targetNamespace="http://schemas.microsoft.com/office/2006/metadata/properties" ma:root="true" ma:fieldsID="dce1a46b43a9a3c49c1e1e16d22d4920" ns3:_="" ns4:_="">
    <xsd:import namespace="1fbf00ff-563a-40b7-a48d-84422a2d4f57"/>
    <xsd:import namespace="c491fc4c-6041-4238-a0fe-b435d10dc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f00ff-563a-40b7-a48d-84422a2d4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1fc4c-6041-4238-a0fe-b435d10dc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4D76F-165A-4646-8C64-BC9B7B6420F0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1fbf00ff-563a-40b7-a48d-84422a2d4f57"/>
    <ds:schemaRef ds:uri="c491fc4c-6041-4238-a0fe-b435d10dc09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72C50A-056C-4A35-BA20-83F96AFC82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64804F-B2A7-4746-B19C-7C5E3ABEA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f00ff-563a-40b7-a48d-84422a2d4f57"/>
    <ds:schemaRef ds:uri="c491fc4c-6041-4238-a0fe-b435d10dc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Capex form</vt:lpstr>
      <vt:lpstr>Reason</vt:lpstr>
      <vt:lpstr>'Capex form'!Print_Area</vt:lpstr>
      <vt:lpstr>Reason!Print_Area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Rukman</dc:creator>
  <cp:lastModifiedBy>Rashini Wickramasiri</cp:lastModifiedBy>
  <cp:lastPrinted>2026-06-12T03:36:22Z</cp:lastPrinted>
  <dcterms:created xsi:type="dcterms:W3CDTF">2007-04-27T04:45:15Z</dcterms:created>
  <dcterms:modified xsi:type="dcterms:W3CDTF">2026-06-12T03:36:36Z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0x0101005ECDC84257932447AAAD142C34F041B6</vt:lpwstr>
  </property>
</Properties>
</file>